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0b987893ce4f06" /></Relationships>
</file>

<file path=xl/workbook.xml><?xml version="1.0" encoding="utf-8"?>
<x:workbook xmlns:x="http://schemas.openxmlformats.org/spreadsheetml/2006/main">
  <x:sheets>
    <x:sheet xmlns:r="http://schemas.openxmlformats.org/officeDocument/2006/relationships" name="Summary" sheetId="1" r:id="R8a979992fc094d2b"/>
    <x:sheet xmlns:r="http://schemas.openxmlformats.org/officeDocument/2006/relationships" name="BOM" sheetId="2" r:id="R2237572976bc48a0"/>
    <x:sheet xmlns:r="http://schemas.openxmlformats.org/officeDocument/2006/relationships" name="Sources" sheetId="3" r:id="R6f016d7dd670426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0"/>
    <x:numFmt numFmtId="202" formatCode="#,##0"/>
  </x:numFmts>
  <x:fonts count="6">
    <x:font>
      <x:sz val="11"/>
      <x:name val="Carlito"/>
    </x:font>
    <x:font>
      <x:sz val="10"/>
      <x:color rgb="FF22334A"/>
      <x:name val="Arial"/>
    </x:font>
    <x:font>
      <x:b/>
      <x:sz val="15"/>
      <x:color rgb="FF22334A"/>
      <x:name val="Arial"/>
    </x:font>
    <x:font>
      <x:b/>
      <x:sz val="10"/>
      <x:color rgb="FF22334A"/>
      <x:name val="Arial"/>
    </x:font>
    <x:font>
      <x:sz val="10"/>
      <x:color rgb="FF536B88"/>
      <x:name val="Arial"/>
    </x:font>
    <x:font>
      <x:b/>
      <x:sz val="10"/>
      <x:color rgb="FFFFFFFF"/>
      <x:name val="Arial"/>
    </x:font>
  </x:fonts>
  <x:fills count="7">
    <x:fill>
      <x:patternFill patternType="none"/>
    </x:fill>
    <x:fill>
      <x:patternFill patternType="gray125"/>
    </x:fill>
    <x:fill>
      <x:patternFill patternType="solid">
        <x:fgColor rgb="FFFFF0C5"/>
      </x:patternFill>
    </x:fill>
    <x:fill>
      <x:patternFill patternType="solid">
        <x:fgColor rgb="FFEAF0F7"/>
      </x:patternFill>
    </x:fill>
    <x:fill>
      <x:patternFill patternType="solid">
        <x:fgColor rgb="FFFCE5E5"/>
      </x:patternFill>
    </x:fill>
    <x:fill>
      <x:patternFill patternType="solid">
        <x:fgColor rgb="FF243B5A"/>
      </x:patternFill>
    </x:fill>
    <x:fill>
      <x:patternFill patternType="solid">
        <x:fgColor rgb="FFF3F6F9"/>
      </x:patternFill>
    </x:fill>
  </x:fills>
  <x:borders count="1">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200" fontId="3" fillId="3"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wrapText="1"/>
    </x:xf>
    <x:xf numFmtId="0" fontId="1" fillId="6" borderId="0" xfId="0" applyNumberFormat="1" applyFont="1" applyFill="1" applyBorder="1" applyAlignment="1">
      <x:alignment vertical="center"/>
    </x:xf>
    <x:xf numFmtId="202" fontId="1" fillId="6" borderId="0" xfId="0" applyNumberFormat="1" applyFont="1" applyFill="1" applyBorder="1" applyAlignment="1">
      <x:alignment vertical="center"/>
    </x:xf>
    <x:xf numFmtId="202" fontId="1" fillId="0" borderId="0" xfId="0" applyNumberFormat="1" applyFont="1" applyFill="1" applyBorder="1" applyAlignment="1">
      <x:alignment vertical="center"/>
    </x:xf>
    <x:xf numFmtId="201" fontId="1" fillId="6" borderId="0" xfId="0" applyNumberFormat="1" applyFont="1" applyFill="1" applyBorder="1" applyAlignment="1">
      <x:alignment vertical="center"/>
    </x:xf>
    <x:xf numFmtId="200" fontId="1" fillId="6" borderId="0" xfId="0" applyNumberFormat="1" applyFont="1" applyFill="1" applyBorder="1" applyAlignment="1">
      <x:alignment vertical="center"/>
    </x:xf>
    <x:xf numFmtId="0" fontId="4" fillId="0" borderId="0" xfId="0" applyNumberFormat="1" applyFont="1" applyFill="1" applyBorder="1" applyAlignment="1">
      <x:alignment vertical="center" wrapText="1"/>
    </x:xf>
  </x:cellXfs>
  <x:cellStyles count="1">
    <x:cellStyle name="Normal" xfId="0"/>
  </x:cellStyles>
  <x:dxfs count="2">
    <x:dxf>
      <x:font>
        <x:b/>
        <x:color rgb="FF9E2424"/>
      </x:font>
      <x:fill>
        <x:patternFill patternType="solid">
          <x:bgColor rgb="FFFCE5E5"/>
        </x:patternFill>
      </x:fill>
    </x:dxf>
    <x:dxf>
      <x:font>
        <x:b/>
        <x:color rgb="FF9E2424"/>
      </x:font>
      <x:fill>
        <x:patternFill patternType="solid">
          <x:bgColor rgb="FFFCE5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9dab58cf874705" /><Relationship Type="http://schemas.openxmlformats.org/officeDocument/2006/relationships/theme" Target="/xl/theme/theme1.xml" Id="Rffab1f43362d4a06" /><Relationship Type="http://schemas.openxmlformats.org/officeDocument/2006/relationships/sharedStrings" Target="/xl/sharedStrings.xml" Id="R12b9ff84b44744ac" /><Relationship Type="http://schemas.openxmlformats.org/officeDocument/2006/relationships/worksheet" Target="/xl/worksheets/sheet1.xml" Id="R8a979992fc094d2b" /><Relationship Type="http://schemas.openxmlformats.org/officeDocument/2006/relationships/worksheet" Target="/xl/worksheets/sheet2.xml" Id="R2237572976bc48a0" /><Relationship Type="http://schemas.openxmlformats.org/officeDocument/2006/relationships/worksheet" Target="/xl/worksheets/sheet3.xml" Id="R6f016d7dd67042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A"/>
  </x:sheetPr>
  <x:sheetViews>
    <x:sheetView showGridLines="0" workbookViewId="0"/>
  </x:sheetViews>
  <x:sheetFormatPr defaultRowHeight="15"/>
  <x:cols>
    <x:col min="1" max="1" width="36.11000061035156" hidden="0" customWidth="1"/>
    <x:col min="2" max="2" width="12.779999732971191" hidden="0" customWidth="1"/>
    <x:col min="3" max="3" width="3.3299999237060547" hidden="0" customWidth="1"/>
    <x:col min="4" max="4" width="25" hidden="0" customWidth="1"/>
    <x:col min="5" max="5" width="20" hidden="0" customWidth="1"/>
    <x:col min="6" max="6" width="18.889999389648438" hidden="0" customWidth="1"/>
  </x:cols>
  <x:sheetData>
    <x:row r="1" ht="24" customHeight="1">
      <x:c r="A1" s="2"/>
      <x:c r="B1" s="2"/>
      <x:c r="C1" s="2"/>
      <x:c r="D1" s="2"/>
      <x:c r="E1" s="2"/>
      <x:c r="F1" s="2"/>
    </x:row>
    <x:row r="2" ht="24" customHeight="1">
      <x:c r="A2" s="3" t="str">
        <x:v>12 V tester · JLC sourcing review</x:v>
      </x:c>
      <x:c r="B2" s="2"/>
      <x:c r="C2" s="2"/>
      <x:c r="D2" s="2"/>
      <x:c r="E2" s="2"/>
      <x:c r="F2" s="2"/>
    </x:row>
    <x:row r="3" ht="24" customHeight="1">
      <x:c r="A3" s="2" t="str">
        <x:v>Checked 30 Sep 2026 · USD · prototype quantities</x:v>
      </x:c>
      <x:c r="B3" s="2"/>
      <x:c r="C3" s="2"/>
      <x:c r="D3" s="2"/>
      <x:c r="E3" s="2"/>
      <x:c r="F3" s="2"/>
    </x:row>
    <x:row r="4" ht="24" customHeight="1">
      <x:c r="A4" s="2"/>
      <x:c r="B4" s="2"/>
      <x:c r="C4" s="2"/>
      <x:c r="D4" s="2"/>
      <x:c r="E4" s="2"/>
      <x:c r="F4" s="2"/>
    </x:row>
    <x:row r="5" ht="24" customHeight="1">
      <x:c r="A5" s="2" t="str">
        <x:v>Boards to assemble</x:v>
      </x:c>
      <x:c r="B5" s="4" t="n">
        <x:v>2</x:v>
      </x:c>
      <x:c r="C5" s="2"/>
      <x:c r="D5" s="11" t="str">
        <x:v>Order blocker</x:v>
      </x:c>
      <x:c r="E5" s="2"/>
      <x:c r="F5" s="2"/>
    </x:row>
    <x:row r="6" ht="24" customHeight="1">
      <x:c r="A6" s="2" t="str">
        <x:v>Economic extended loading fee</x:v>
      </x:c>
      <x:c r="B6" s="5" t="n">
        <x:v>3.07</x:v>
      </x:c>
      <x:c r="C6" s="2"/>
      <x:c r="D6" s="13" t="str">
        <x:v>U7 / C5338283: zero JLC stock. Preorder lead time was not displayed. Resolve before releasing the assembly order.</x:v>
      </x:c>
      <x:c r="E6" s="13"/>
      <x:c r="F6" s="13"/>
    </x:row>
    <x:row r="7" ht="24" customHeight="1">
      <x:c r="A7" s="2"/>
      <x:c r="B7" s="2"/>
      <x:c r="C7" s="2"/>
      <x:c r="D7" s="13"/>
      <x:c r="E7" s="13"/>
      <x:c r="F7" s="13"/>
    </x:row>
    <x:row r="8" ht="24" customHeight="1">
      <x:c r="A8" s="2" t="str">
        <x:v>Nominal fitted parts (incl. preorder estimate)</x:v>
      </x:c>
      <x:c r="B8" s="6" t="n">
        <x:f>SUM(BOM!H6:H29)</x:f>
        <x:v>93.15880000000003</x:v>
      </x:c>
      <x:c r="C8" s="2"/>
      <x:c r="D8" s="2"/>
      <x:c r="E8" s="2"/>
      <x:c r="F8" s="2"/>
    </x:row>
    <x:row r="9" ht="24" customHeight="1">
      <x:c r="A9" s="2" t="str">
        <x:v>Of which converter preorder estimate</x:v>
      </x:c>
      <x:c r="B9" s="6" t="n">
        <x:f>SUMIF(BOM!J6:J29,"PREORDER",BOM!H6:H29)</x:f>
        <x:v>20.9734</x:v>
      </x:c>
      <x:c r="C9" s="2"/>
      <x:c r="D9" s="12" t="str">
        <x:v>This is not a checkout quote. Costs exclude attrition, MOQ extras, PCB fabrication, assembly setup, placement, shipping, tax, display and harness. Stock is not reserved.</x:v>
      </x:c>
      <x:c r="E9" s="12"/>
      <x:c r="F9" s="12"/>
    </x:row>
    <x:row r="10" ht="24" customHeight="1">
      <x:c r="A10" s="2" t="str">
        <x:v>Economic extended loading allowance</x:v>
      </x:c>
      <x:c r="B10" s="6" t="n">
        <x:f>SUM(BOM!I6:I29)</x:f>
        <x:v>49.12</x:v>
      </x:c>
      <x:c r="C10" s="2"/>
      <x:c r="D10" s="12"/>
      <x:c r="E10" s="12"/>
      <x:c r="F10" s="12"/>
    </x:row>
    <x:row r="11" ht="24" customHeight="1">
      <x:c r="A11" s="9" t="str">
        <x:v>Parts + loading only</x:v>
      </x:c>
      <x:c r="B11" s="10" t="n">
        <x:f>B8+B10</x:f>
        <x:v>142.27880000000002</x:v>
      </x:c>
      <x:c r="C11" s="2"/>
      <x:c r="D11" s="12"/>
      <x:c r="E11" s="12"/>
      <x:c r="F11" s="12"/>
    </x:row>
    <x:row r="12" ht="24" customHeight="1">
      <x:c r="A12" s="2" t="str">
        <x:v>Basic-part loading fees avoided</x:v>
      </x:c>
      <x:c r="B12" s="6" t="n">
        <x:f>COUNTIF(BOM!C6:C29,"Basic")*B6</x:f>
        <x:v>24.56</x:v>
      </x:c>
      <x:c r="C12" s="2"/>
      <x:c r="D12" s="2"/>
      <x:c r="E12" s="2"/>
      <x:c r="F12" s="2"/>
    </x:row>
    <x:row r="13" ht="24" customHeight="1">
      <x:c r="A13" s="2" t="str">
        <x:v>Parts short of nominal quantity</x:v>
      </x:c>
      <x:c r="B13" s="2" t="n">
        <x:f>COUNTIF(BOM!J6:J29,"PREORDER")+COUNTIF(BOM!J6:J29,"SHORT")</x:f>
        <x:v>1</x:v>
      </x:c>
      <x:c r="C13" s="2"/>
      <x:c r="D13" s="2"/>
      <x:c r="E13" s="2"/>
      <x:c r="F13" s="2"/>
    </x:row>
    <x:row r="14" ht="24" customHeight="1">
      <x:c r="A14" s="2" t="str">
        <x:v>Fitted components per board</x:v>
      </x:c>
      <x:c r="B14" s="2" t="n">
        <x:f>SUM(BOM!D6:D29)</x:f>
        <x:v>114</x:v>
      </x:c>
      <x:c r="C14" s="2"/>
      <x:c r="D14" s="2"/>
      <x:c r="E14" s="2"/>
      <x:c r="F14" s="2"/>
    </x:row>
    <x:row r="15" ht="24" customHeight="1">
      <x:c r="A15" s="2"/>
      <x:c r="B15" s="2"/>
      <x:c r="C15" s="2"/>
      <x:c r="D15" s="2"/>
      <x:c r="E15" s="2"/>
      <x:c r="F15" s="2"/>
    </x:row>
    <x:row r="16" ht="24" customHeight="1">
      <x:c r="A16" s="2"/>
      <x:c r="B16" s="2"/>
      <x:c r="C16" s="2"/>
      <x:c r="D16" s="2"/>
      <x:c r="E16" s="2"/>
      <x:c r="F16" s="2"/>
    </x:row>
    <x:row r="17" ht="24" customHeight="1">
      <x:c r="A17" s="11" t="str">
        <x:v>Optional lower-cost switch preorder</x:v>
      </x:c>
      <x:c r="B17" s="2"/>
      <x:c r="C17" s="2"/>
      <x:c r="D17" s="12" t="str">
        <x:v>Alternate BOM uses C657391 for U4–U6. JLC displayed zero stock, MOQ 4 and estimated 9-day lead time. Same TSSOP chip; use only if preorder price and delivery are acceptable. Primary BOM uses stocked C207399.</x:v>
      </x:c>
      <x:c r="E17" s="12"/>
      <x:c r="F17" s="12"/>
    </x:row>
    <x:row r="18" ht="24" customHeight="1">
      <x:c r="A18" s="2" t="str">
        <x:v>ADG4612BRUZ unit estimate</x:v>
      </x:c>
      <x:c r="B18" s="14" t="n">
        <x:v>2.7916</x:v>
      </x:c>
      <x:c r="C18" s="2"/>
      <x:c r="D18" s="12"/>
      <x:c r="E18" s="12"/>
      <x:c r="F18" s="12"/>
    </x:row>
    <x:row r="19" ht="24" customHeight="1">
      <x:c r="A19" s="2" t="str">
        <x:v>Potential nominal parts saving</x:v>
      </x:c>
      <x:c r="B19" s="6" t="n">
        <x:f>B5*3*(6.745-B18)</x:f>
        <x:v>23.7204</x:v>
      </x:c>
      <x:c r="C19" s="2"/>
      <x:c r="D19" s="12"/>
      <x:c r="E19" s="12"/>
      <x:c r="F19" s="12"/>
    </x:row>
    <x:row r="20" ht="24" customHeight="1">
      <x:c r="A20" s="2"/>
      <x:c r="B20" s="2"/>
      <x:c r="C20" s="2"/>
      <x:c r="D20" s="12"/>
      <x:c r="E20" s="12"/>
      <x:c r="F20" s="12"/>
    </x:row>
    <x:row r="21" ht="24" customHeight="1">
      <x:c r="A21" s="2"/>
      <x:c r="B21" s="2"/>
      <x:c r="C21" s="2"/>
      <x:c r="D21" s="2"/>
      <x:c r="E21" s="2"/>
      <x:c r="F21" s="2"/>
    </x:row>
    <x:row r="22" ht="24" customHeight="1">
      <x:c r="A22" s="12" t="str">
        <x:v>Electrical values, precision resistor specifications, pinout and copper are unchanged. New capacitors retain nominal capacitance, tolerance and dielectric, with equal or higher voltage ratings. Bench validation, including power sequencing and capacitor DC-bias effects, remains outstanding. C24 is NRND but deeply stocked for this prototype.</x:v>
      </x:c>
      <x:c r="B22" s="12"/>
      <x:c r="C22" s="12"/>
      <x:c r="D22" s="12"/>
      <x:c r="E22" s="12"/>
      <x:c r="F22" s="12"/>
    </x:row>
    <x:row r="23" ht="24" customHeight="1">
      <x:c r="A23" s="12"/>
      <x:c r="B23" s="12"/>
      <x:c r="C23" s="12"/>
      <x:c r="D23" s="12"/>
      <x:c r="E23" s="12"/>
      <x:c r="F23" s="12"/>
    </x:row>
    <x:row r="24" ht="24" customHeight="1">
      <x:c r="A24" s="12"/>
      <x:c r="B24" s="12"/>
      <x:c r="C24" s="12"/>
      <x:c r="D24" s="12"/>
      <x:c r="E24" s="12"/>
      <x:c r="F24" s="12"/>
    </x:row>
    <x:row r="25" ht="24" customHeight="1">
      <x:c r="A25" s="2"/>
      <x:c r="B25" s="2"/>
      <x:c r="C25" s="2"/>
      <x:c r="D25" s="2"/>
      <x:c r="E25" s="2"/>
      <x:c r="F25" s="2"/>
    </x:row>
    <x:row r="26" ht="24" customHeight="1">
      <x:c r="A26" s="2"/>
      <x:c r="B26" s="2"/>
      <x:c r="C26" s="2"/>
      <x:c r="D26" s="2"/>
      <x:c r="E26" s="2"/>
      <x:c r="F26" s="2"/>
    </x:row>
    <x:row r="27" ht="24" customHeight="1">
      <x:c r="A27" s="2" t="str">
        <x:v>JLC fee schedule</x:v>
      </x:c>
      <x:c r="B27" s="2"/>
      <x:c r="C27" s="2"/>
      <x:c r="D27" s="2"/>
      <x:c r="E27" s="2"/>
      <x:c r="F27" s="2"/>
    </x:row>
    <x:row r="28" ht="24" customHeight="1">
      <x:c r="A28" s="15" t="str">
        <x:v>https://jlcpcb.com/help/article/pcb-assembly-price</x:v>
      </x:c>
      <x:c r="B28" s="2"/>
      <x:c r="C28" s="2"/>
      <x:c r="D28" s="2"/>
      <x:c r="E28" s="2"/>
      <x:c r="F28" s="2"/>
    </x:row>
    <x:row r="29" ht="24" customHeight="1">
      <x:c r="A29" s="2"/>
      <x:c r="B29" s="2"/>
      <x:c r="C29" s="2"/>
      <x:c r="D29" s="2"/>
      <x:c r="E29" s="2"/>
      <x:c r="F29" s="2"/>
    </x:row>
    <x:row r="30" ht="24" customHeight="1">
      <x:c r="A30" s="2"/>
      <x:c r="B30" s="2"/>
      <x:c r="C30" s="2"/>
      <x:c r="D30" s="2"/>
      <x:c r="E30" s="2"/>
      <x:c r="F30" s="2"/>
    </x:row>
  </x:sheetData>
  <x:mergeCells>
    <x:mergeCell ref="D6:F7"/>
    <x:mergeCell ref="D9:F11"/>
    <x:mergeCell ref="D17:F20"/>
    <x:mergeCell ref="A22:F24"/>
    <x:mergeCell ref="A28:F28"/>
  </x:mergeCells>
  <x:conditionalFormatting sqref="B13:B13">
    <x:cfRule type="cellIs" dxfId="0" priority="1" operator="greaterThan">
      <x:formula>0</x:formula>
    </x:cfRule>
  </x:conditionalFormatting>
  <x:dataValidations count="1">
    <x:dataValidation type="whole" operator="between" sqref="B5">
      <x:formula1>1</x:formula1>
      <x:formula2>100</x:formula2>
    </x:dataValidation>
  </x:dataValidations>
  <x:pageMargins left="0.7" right="0.7" top="0.75" bottom="0.75" header="0.3" footer="0.3"/>
</x:worksheet>
</file>

<file path=xl/worksheets/sheet2.xml><?xml version="1.0" encoding="utf-8"?>
<x:worksheet xmlns:x="http://schemas.openxmlformats.org/spreadsheetml/2006/main">
  <x:sheetPr>
    <x:tabColor rgb="FF476685"/>
  </x:sheetPr>
  <x:sheetViews>
    <x:sheetView showGridLines="0" workbookViewId="0">
      <x:pane xSplit="2" ySplit="5" topLeftCell="C6" activePane="bottomRight" state="frozen"/>
    </x:sheetView>
  </x:sheetViews>
  <x:sheetFormatPr defaultRowHeight="15"/>
  <x:cols>
    <x:col min="1" max="1" width="11.109999656677246" hidden="0" customWidth="1"/>
    <x:col min="2" max="2" width="27.219999313354492" hidden="0" customWidth="1"/>
    <x:col min="3" max="3" width="10" hidden="0" customWidth="1"/>
    <x:col min="4" max="4" width="8.329999923706055" hidden="0" customWidth="1"/>
    <x:col min="5" max="5" width="10" hidden="0" customWidth="1"/>
    <x:col min="6" max="6" width="11.109999656677246" hidden="0" customWidth="1"/>
    <x:col min="7" max="7" width="10" hidden="0" customWidth="1"/>
    <x:col min="8" max="8" width="11.109999656677246" hidden="0" customWidth="1"/>
    <x:col min="9" max="9" width="9.4399995803833" hidden="0" customWidth="1"/>
    <x:col min="10" max="10" width="12.220000267028809" hidden="0" customWidth="1"/>
  </x:cols>
  <x:sheetData>
    <x:row r="1" ht="24" customHeight="1">
      <x:c r="A1" s="2"/>
      <x:c r="B1" s="2"/>
      <x:c r="C1" s="2"/>
      <x:c r="D1" s="2"/>
      <x:c r="E1" s="2"/>
      <x:c r="F1" s="2"/>
      <x:c r="G1" s="2"/>
      <x:c r="H1" s="2"/>
      <x:c r="I1" s="2"/>
      <x:c r="J1" s="2"/>
    </x:row>
    <x:row r="2" ht="24" customHeight="1">
      <x:c r="A2" s="3" t="str">
        <x:v>Selected BOM · live JLC library snapshot</x:v>
      </x:c>
      <x:c r="B2" s="2"/>
      <x:c r="C2" s="2"/>
      <x:c r="D2" s="2"/>
      <x:c r="E2" s="2"/>
      <x:c r="F2" s="2"/>
      <x:c r="G2" s="2"/>
      <x:c r="H2" s="2"/>
      <x:c r="I2" s="2"/>
      <x:c r="J2" s="2"/>
    </x:row>
    <x:row r="3" ht="24" customHeight="1">
      <x:c r="A3" s="2" t="str">
        <x:v>Unit price is displayed 1+ tier; no volume discount or attrition assumed. Full sources on next tab.</x:v>
      </x:c>
      <x:c r="B3" s="2"/>
      <x:c r="C3" s="2"/>
      <x:c r="D3" s="2"/>
      <x:c r="E3" s="2"/>
      <x:c r="F3" s="2"/>
      <x:c r="G3" s="2"/>
      <x:c r="H3" s="2"/>
      <x:c r="I3" s="2"/>
      <x:c r="J3" s="2"/>
    </x:row>
    <x:row r="4" ht="24" customHeight="1">
      <x:c r="A4" s="2"/>
      <x:c r="B4" s="2"/>
      <x:c r="C4" s="2"/>
      <x:c r="D4" s="2"/>
      <x:c r="E4" s="2"/>
      <x:c r="F4" s="2"/>
      <x:c r="G4" s="2"/>
      <x:c r="H4" s="2"/>
      <x:c r="I4" s="2"/>
      <x:c r="J4" s="2"/>
    </x:row>
    <x:row r="5" ht="32" customHeight="1">
      <x:c r="A5" s="19" t="str">
        <x:v>JLC part #</x:v>
      </x:c>
      <x:c r="B5" s="19" t="str">
        <x:v>Manufacturer part number</x:v>
      </x:c>
      <x:c r="C5" s="19" t="str">
        <x:v>Category</x:v>
      </x:c>
      <x:c r="D5" s="19" t="str">
        <x:v>Qty / PCB</x:v>
      </x:c>
      <x:c r="E5" s="19" t="str">
        <x:v>Required</x:v>
      </x:c>
      <x:c r="F5" s="19" t="str">
        <x:v>Stock</x:v>
      </x:c>
      <x:c r="G5" s="19" t="str">
        <x:v>Unit USD</x:v>
      </x:c>
      <x:c r="H5" s="19" t="str">
        <x:v>Parts USD</x:v>
      </x:c>
      <x:c r="I5" s="19" t="str">
        <x:v>Fee USD</x:v>
      </x:c>
      <x:c r="J5" s="19" t="str">
        <x:v>Status</x:v>
      </x:c>
    </x:row>
    <x:row r="6" ht="24" customHeight="1">
      <x:c r="A6" s="20" t="str">
        <x:v>C5144867</x:v>
      </x:c>
      <x:c r="B6" s="20" t="str">
        <x:v>1984633</x:v>
      </x:c>
      <x:c r="C6" s="20" t="str">
        <x:v>Extended</x:v>
      </x:c>
      <x:c r="D6" s="20" t="n">
        <x:v>3</x:v>
      </x:c>
      <x:c r="E6" s="20" t="n">
        <x:f>D6*Summary!$B$5</x:f>
        <x:v>6</x:v>
      </x:c>
      <x:c r="F6" s="21" t="n">
        <x:v>65</x:v>
      </x:c>
      <x:c r="G6" s="23" t="n">
        <x:v>1.5603</x:v>
      </x:c>
      <x:c r="H6" s="24" t="n">
        <x:f>E6*G6</x:f>
        <x:v>9.3618</x:v>
      </x:c>
      <x:c r="I6" s="24" t="n">
        <x:f>IF(C6="Extended",Summary!$B$6,0)</x:f>
        <x:v>3.07</x:v>
      </x:c>
      <x:c r="J6" s="20" t="str">
        <x:f>IF(F6=0,"PREORDER",IF(F6&lt;E6,"SHORT","IN STOCK"))</x:f>
        <x:v>IN STOCK</x:v>
      </x:c>
    </x:row>
    <x:row r="7" ht="24" customHeight="1">
      <x:c r="A7" s="2" t="str">
        <x:v>C865215</x:v>
      </x:c>
      <x:c r="B7" s="2" t="str">
        <x:v>RT0805BRD07165KL</x:v>
      </x:c>
      <x:c r="C7" s="2" t="str">
        <x:v>Extended</x:v>
      </x:c>
      <x:c r="D7" s="2" t="n">
        <x:v>24</x:v>
      </x:c>
      <x:c r="E7" s="2" t="n">
        <x:f>D7*Summary!$B$5</x:f>
        <x:v>48</x:v>
      </x:c>
      <x:c r="F7" s="22" t="n">
        <x:v>2403</x:v>
      </x:c>
      <x:c r="G7" s="14" t="n">
        <x:v>0.0456</x:v>
      </x:c>
      <x:c r="H7" s="6" t="n">
        <x:f>E7*G7</x:f>
        <x:v>2.1888</x:v>
      </x:c>
      <x:c r="I7" s="6" t="n">
        <x:f>IF(C7="Extended",Summary!$B$6,0)</x:f>
        <x:v>3.07</x:v>
      </x:c>
      <x:c r="J7" s="2" t="str">
        <x:f>IF(F7=0,"PREORDER",IF(F7&lt;E7,"SHORT","IN STOCK"))</x:f>
        <x:v>IN STOCK</x:v>
      </x:c>
    </x:row>
    <x:row r="8" ht="24" customHeight="1">
      <x:c r="A8" s="20" t="str">
        <x:v>C282531</x:v>
      </x:c>
      <x:c r="B8" s="20" t="str">
        <x:v>BZT52H-C12,115</x:v>
      </x:c>
      <x:c r="C8" s="20" t="str">
        <x:v>Extended</x:v>
      </x:c>
      <x:c r="D8" s="20" t="n">
        <x:v>12</x:v>
      </x:c>
      <x:c r="E8" s="20" t="n">
        <x:f>D8*Summary!$B$5</x:f>
        <x:v>24</x:v>
      </x:c>
      <x:c r="F8" s="21" t="n">
        <x:v>37634</x:v>
      </x:c>
      <x:c r="G8" s="23" t="n">
        <x:v>0.0421</x:v>
      </x:c>
      <x:c r="H8" s="24" t="n">
        <x:f>E8*G8</x:f>
        <x:v>1.0104</x:v>
      </x:c>
      <x:c r="I8" s="24" t="n">
        <x:f>IF(C8="Extended",Summary!$B$6,0)</x:f>
        <x:v>3.07</x:v>
      </x:c>
      <x:c r="J8" s="20" t="str">
        <x:f>IF(F8=0,"PREORDER",IF(F8&lt;E8,"SHORT","IN STOCK"))</x:f>
        <x:v>IN STOCK</x:v>
      </x:c>
    </x:row>
    <x:row r="9" ht="24" customHeight="1">
      <x:c r="A9" s="2" t="str">
        <x:v>C110775</x:v>
      </x:c>
      <x:c r="B9" s="2" t="str">
        <x:v>RT0805BRD0710KL</x:v>
      </x:c>
      <x:c r="C9" s="2" t="str">
        <x:v>Extended</x:v>
      </x:c>
      <x:c r="D9" s="2" t="n">
        <x:v>14</x:v>
      </x:c>
      <x:c r="E9" s="2" t="n">
        <x:f>D9*Summary!$B$5</x:f>
        <x:v>28</x:v>
      </x:c>
      <x:c r="F9" s="22" t="n">
        <x:v>865510</x:v>
      </x:c>
      <x:c r="G9" s="14" t="n">
        <x:v>0.04</x:v>
      </x:c>
      <x:c r="H9" s="6" t="n">
        <x:f>E9*G9</x:f>
        <x:v>1.12</x:v>
      </x:c>
      <x:c r="I9" s="6" t="n">
        <x:f>IF(C9="Extended",Summary!$B$6,0)</x:f>
        <x:v>3.07</x:v>
      </x:c>
      <x:c r="J9" s="2" t="str">
        <x:f>IF(F9=0,"PREORDER",IF(F9&lt;E9,"SHORT","IN STOCK"))</x:f>
        <x:v>IN STOCK</x:v>
      </x:c>
    </x:row>
    <x:row r="10" ht="24" customHeight="1">
      <x:c r="A10" s="20" t="str">
        <x:v>C122537</x:v>
      </x:c>
      <x:c r="B10" s="20" t="str">
        <x:v>RT0805BRD07100KL</x:v>
      </x:c>
      <x:c r="C10" s="20" t="str">
        <x:v>Extended</x:v>
      </x:c>
      <x:c r="D10" s="20" t="n">
        <x:v>12</x:v>
      </x:c>
      <x:c r="E10" s="20" t="n">
        <x:f>D10*Summary!$B$5</x:f>
        <x:v>24</x:v>
      </x:c>
      <x:c r="F10" s="21" t="n">
        <x:v>423155</x:v>
      </x:c>
      <x:c r="G10" s="23" t="n">
        <x:v>0.0404</x:v>
      </x:c>
      <x:c r="H10" s="24" t="n">
        <x:f>E10*G10</x:f>
        <x:v>0.9696</x:v>
      </x:c>
      <x:c r="I10" s="24" t="n">
        <x:f>IF(C10="Extended",Summary!$B$6,0)</x:f>
        <x:v>3.07</x:v>
      </x:c>
      <x:c r="J10" s="20" t="str">
        <x:f>IF(F10=0,"PREORDER",IF(F10&lt;E10,"SHORT","IN STOCK"))</x:f>
        <x:v>IN STOCK</x:v>
      </x:c>
    </x:row>
    <x:row r="11" ht="24" customHeight="1">
      <x:c r="A11" s="2" t="str">
        <x:v>C62774</x:v>
      </x:c>
      <x:c r="B11" s="2" t="str">
        <x:v>CC0805JRNPO9BN102</x:v>
      </x:c>
      <x:c r="C11" s="2" t="str">
        <x:v>Extended</x:v>
      </x:c>
      <x:c r="D11" s="2" t="n">
        <x:v>13</x:v>
      </x:c>
      <x:c r="E11" s="2" t="n">
        <x:f>D11*Summary!$B$5</x:f>
        <x:v>26</x:v>
      </x:c>
      <x:c r="F11" s="22" t="n">
        <x:v>1080509</x:v>
      </x:c>
      <x:c r="G11" s="14" t="n">
        <x:v>0.0096</x:v>
      </x:c>
      <x:c r="H11" s="6" t="n">
        <x:f>E11*G11</x:f>
        <x:v>0.2496</x:v>
      </x:c>
      <x:c r="I11" s="6" t="n">
        <x:f>IF(C11="Extended",Summary!$B$6,0)</x:f>
        <x:v>3.07</x:v>
      </x:c>
      <x:c r="J11" s="2" t="str">
        <x:f>IF(F11=0,"PREORDER",IF(F11&lt;E11,"SHORT","IN STOCK"))</x:f>
        <x:v>IN STOCK</x:v>
      </x:c>
    </x:row>
    <x:row r="12" ht="24" customHeight="1">
      <x:c r="A12" s="20" t="str">
        <x:v>C37593</x:v>
      </x:c>
      <x:c r="B12" s="20" t="str">
        <x:v>ADS1115IDGSR</x:v>
      </x:c>
      <x:c r="C12" s="20" t="str">
        <x:v>Extended</x:v>
      </x:c>
      <x:c r="D12" s="20" t="n">
        <x:v>3</x:v>
      </x:c>
      <x:c r="E12" s="20" t="n">
        <x:f>D12*Summary!$B$5</x:f>
        <x:v>6</x:v>
      </x:c>
      <x:c r="F12" s="21" t="n">
        <x:v>26773</x:v>
      </x:c>
      <x:c r="G12" s="23" t="n">
        <x:v>1.219</x:v>
      </x:c>
      <x:c r="H12" s="24" t="n">
        <x:f>E12*G12</x:f>
        <x:v>7.314</x:v>
      </x:c>
      <x:c r="I12" s="24" t="n">
        <x:f>IF(C12="Extended",Summary!$B$6,0)</x:f>
        <x:v>3.07</x:v>
      </x:c>
      <x:c r="J12" s="20" t="str">
        <x:f>IF(F12=0,"PREORDER",IF(F12&lt;E12,"SHORT","IN STOCK"))</x:f>
        <x:v>IN STOCK</x:v>
      </x:c>
    </x:row>
    <x:row r="13" ht="24" customHeight="1">
      <x:c r="A13" s="2" t="str">
        <x:v>C207399</x:v>
      </x:c>
      <x:c r="B13" s="2" t="str">
        <x:v>ADG4612BRUZ-REEL7</x:v>
      </x:c>
      <x:c r="C13" s="2" t="str">
        <x:v>Extended</x:v>
      </x:c>
      <x:c r="D13" s="2" t="n">
        <x:v>3</x:v>
      </x:c>
      <x:c r="E13" s="2" t="n">
        <x:f>D13*Summary!$B$5</x:f>
        <x:v>6</x:v>
      </x:c>
      <x:c r="F13" s="22" t="n">
        <x:v>41</x:v>
      </x:c>
      <x:c r="G13" s="14" t="n">
        <x:v>6.745</x:v>
      </x:c>
      <x:c r="H13" s="6" t="n">
        <x:f>E13*G13</x:f>
        <x:v>40.47</x:v>
      </x:c>
      <x:c r="I13" s="6" t="n">
        <x:f>IF(C13="Extended",Summary!$B$6,0)</x:f>
        <x:v>3.07</x:v>
      </x:c>
      <x:c r="J13" s="2" t="str">
        <x:f>IF(F13=0,"PREORDER",IF(F13&lt;E13,"SHORT","IN STOCK"))</x:f>
        <x:v>IN STOCK</x:v>
      </x:c>
    </x:row>
    <x:row r="14" ht="24" customHeight="1">
      <x:c r="A14" s="20" t="str">
        <x:v>C49678</x:v>
      </x:c>
      <x:c r="B14" s="20" t="str">
        <x:v>CC0805KRX7R9BB104</x:v>
      </x:c>
      <x:c r="C14" s="20" t="str">
        <x:v>Basic</x:v>
      </x:c>
      <x:c r="D14" s="20" t="n">
        <x:v>13</x:v>
      </x:c>
      <x:c r="E14" s="20" t="n">
        <x:f>D14*Summary!$B$5</x:f>
        <x:v>26</x:v>
      </x:c>
      <x:c r="F14" s="21" t="n">
        <x:v>19276466</x:v>
      </x:c>
      <x:c r="G14" s="23" t="n">
        <x:v>0.0189</x:v>
      </x:c>
      <x:c r="H14" s="24" t="n">
        <x:f>E14*G14</x:f>
        <x:v>0.4914</x:v>
      </x:c>
      <x:c r="I14" s="24" t="n">
        <x:f>IF(C14="Extended",Summary!$B$6,0)</x:f>
        <x:v>0</x:v>
      </x:c>
      <x:c r="J14" s="20" t="str">
        <x:f>IF(F14=0,"PREORDER",IF(F14&lt;E14,"SHORT","IN STOCK"))</x:f>
        <x:v>IN STOCK</x:v>
      </x:c>
    </x:row>
    <x:row r="15" ht="24" customHeight="1">
      <x:c r="A15" s="2" t="str">
        <x:v>C157991</x:v>
      </x:c>
      <x:c r="B15" s="2" t="str">
        <x:v>B5B-XH-A(LF)(SN)</x:v>
      </x:c>
      <x:c r="C15" s="2" t="str">
        <x:v>Extended</x:v>
      </x:c>
      <x:c r="D15" s="2" t="n">
        <x:v>1</x:v>
      </x:c>
      <x:c r="E15" s="2" t="n">
        <x:f>D15*Summary!$B$5</x:f>
        <x:v>2</x:v>
      </x:c>
      <x:c r="F15" s="22" t="n">
        <x:v>71511</x:v>
      </x:c>
      <x:c r="G15" s="14" t="n">
        <x:v>0.0852</x:v>
      </x:c>
      <x:c r="H15" s="6" t="n">
        <x:f>E15*G15</x:f>
        <x:v>0.1704</x:v>
      </x:c>
      <x:c r="I15" s="6" t="n">
        <x:f>IF(C15="Extended",Summary!$B$6,0)</x:f>
        <x:v>3.07</x:v>
      </x:c>
      <x:c r="J15" s="2" t="str">
        <x:f>IF(F15=0,"PREORDER",IF(F15&lt;E15,"SHORT","IN STOCK"))</x:f>
        <x:v>IN STOCK</x:v>
      </x:c>
    </x:row>
    <x:row r="16" ht="24" customHeight="1">
      <x:c r="A16" s="20" t="str">
        <x:v>C5338283</x:v>
      </x:c>
      <x:c r="B16" s="20" t="str">
        <x:v>R05C05TE05S-R</x:v>
      </x:c>
      <x:c r="C16" s="20" t="str">
        <x:v>Extended</x:v>
      </x:c>
      <x:c r="D16" s="20" t="n">
        <x:v>1</x:v>
      </x:c>
      <x:c r="E16" s="20" t="n">
        <x:f>D16*Summary!$B$5</x:f>
        <x:v>2</x:v>
      </x:c>
      <x:c r="F16" s="21" t="n">
        <x:v>0</x:v>
      </x:c>
      <x:c r="G16" s="23" t="n">
        <x:v>10.4867</x:v>
      </x:c>
      <x:c r="H16" s="24" t="n">
        <x:f>E16*G16</x:f>
        <x:v>20.9734</x:v>
      </x:c>
      <x:c r="I16" s="24" t="n">
        <x:f>IF(C16="Extended",Summary!$B$6,0)</x:f>
        <x:v>3.07</x:v>
      </x:c>
      <x:c r="J16" s="20" t="str">
        <x:f>IF(F16=0,"PREORDER",IF(F16&lt;E16,"SHORT","IN STOCK"))</x:f>
        <x:v>PREORDER</x:v>
      </x:c>
    </x:row>
    <x:row r="17" ht="24" customHeight="1">
      <x:c r="A17" s="2" t="str">
        <x:v>C5122339</x:v>
      </x:c>
      <x:c r="B17" s="2" t="str">
        <x:v>ISO1640BDR</x:v>
      </x:c>
      <x:c r="C17" s="2" t="str">
        <x:v>Extended</x:v>
      </x:c>
      <x:c r="D17" s="2" t="n">
        <x:v>1</x:v>
      </x:c>
      <x:c r="E17" s="2" t="n">
        <x:f>D17*Summary!$B$5</x:f>
        <x:v>2</x:v>
      </x:c>
      <x:c r="F17" s="22" t="n">
        <x:v>4169</x:v>
      </x:c>
      <x:c r="G17" s="14" t="n">
        <x:v>1.8708</x:v>
      </x:c>
      <x:c r="H17" s="6" t="n">
        <x:f>E17*G17</x:f>
        <x:v>3.7416</x:v>
      </x:c>
      <x:c r="I17" s="6" t="n">
        <x:f>IF(C17="Extended",Summary!$B$6,0)</x:f>
        <x:v>3.07</x:v>
      </x:c>
      <x:c r="J17" s="2" t="str">
        <x:f>IF(F17=0,"PREORDER",IF(F17&lt;E17,"SHORT","IN STOCK"))</x:f>
        <x:v>IN STOCK</x:v>
      </x:c>
    </x:row>
    <x:row r="18" ht="24" customHeight="1">
      <x:c r="A18" s="20" t="str">
        <x:v>C404027</x:v>
      </x:c>
      <x:c r="B18" s="20" t="str">
        <x:v>TLV75533PDBVR</x:v>
      </x:c>
      <x:c r="C18" s="20" t="str">
        <x:v>Extended</x:v>
      </x:c>
      <x:c r="D18" s="20" t="n">
        <x:v>1</x:v>
      </x:c>
      <x:c r="E18" s="20" t="n">
        <x:f>D18*Summary!$B$5</x:f>
        <x:v>2</x:v>
      </x:c>
      <x:c r="F18" s="21" t="n">
        <x:v>137124</x:v>
      </x:c>
      <x:c r="G18" s="23" t="n">
        <x:v>0.1421</x:v>
      </x:c>
      <x:c r="H18" s="24" t="n">
        <x:f>E18*G18</x:f>
        <x:v>0.2842</x:v>
      </x:c>
      <x:c r="I18" s="24" t="n">
        <x:f>IF(C18="Extended",Summary!$B$6,0)</x:f>
        <x:v>3.07</x:v>
      </x:c>
      <x:c r="J18" s="20" t="str">
        <x:f>IF(F18=0,"PREORDER",IF(F18&lt;E18,"SHORT","IN STOCK"))</x:f>
        <x:v>IN STOCK</x:v>
      </x:c>
    </x:row>
    <x:row r="19" ht="24" customHeight="1">
      <x:c r="A19" s="2" t="str">
        <x:v>C92494</x:v>
      </x:c>
      <x:c r="B19" s="2" t="str">
        <x:v>OPA320AIDBVR</x:v>
      </x:c>
      <x:c r="C19" s="2" t="str">
        <x:v>Extended</x:v>
      </x:c>
      <x:c r="D19" s="2" t="n">
        <x:v>1</x:v>
      </x:c>
      <x:c r="E19" s="2" t="n">
        <x:f>D19*Summary!$B$5</x:f>
        <x:v>2</x:v>
      </x:c>
      <x:c r="F19" s="22" t="n">
        <x:v>30656</x:v>
      </x:c>
      <x:c r="G19" s="14" t="n">
        <x:v>1.3588</x:v>
      </x:c>
      <x:c r="H19" s="6" t="n">
        <x:f>E19*G19</x:f>
        <x:v>2.7176</x:v>
      </x:c>
      <x:c r="I19" s="6" t="n">
        <x:f>IF(C19="Extended",Summary!$B$6,0)</x:f>
        <x:v>3.07</x:v>
      </x:c>
      <x:c r="J19" s="2" t="str">
        <x:f>IF(F19=0,"PREORDER",IF(F19&lt;E19,"SHORT","IN STOCK"))</x:f>
        <x:v>IN STOCK</x:v>
      </x:c>
    </x:row>
    <x:row r="20" ht="24" customHeight="1">
      <x:c r="A20" s="20" t="str">
        <x:v>C2860914</x:v>
      </x:c>
      <x:c r="B20" s="20" t="str">
        <x:v>TLV809EA30DBZR</x:v>
      </x:c>
      <x:c r="C20" s="20" t="str">
        <x:v>Extended</x:v>
      </x:c>
      <x:c r="D20" s="20" t="n">
        <x:v>1</x:v>
      </x:c>
      <x:c r="E20" s="20" t="n">
        <x:f>D20*Summary!$B$5</x:f>
        <x:v>2</x:v>
      </x:c>
      <x:c r="F20" s="21" t="n">
        <x:v>800</x:v>
      </x:c>
      <x:c r="G20" s="23" t="n">
        <x:v>0.2141</x:v>
      </x:c>
      <x:c r="H20" s="24" t="n">
        <x:f>E20*G20</x:f>
        <x:v>0.4282</x:v>
      </x:c>
      <x:c r="I20" s="24" t="n">
        <x:f>IF(C20="Extended",Summary!$B$6,0)</x:f>
        <x:v>3.07</x:v>
      </x:c>
      <x:c r="J20" s="20" t="str">
        <x:f>IF(F20=0,"PREORDER",IF(F20&lt;E20,"SHORT","IN STOCK"))</x:f>
        <x:v>IN STOCK</x:v>
      </x:c>
    </x:row>
    <x:row r="21" ht="24" customHeight="1">
      <x:c r="A21" s="2" t="str">
        <x:v>C82288</x:v>
      </x:c>
      <x:c r="B21" s="2" t="str">
        <x:v>PMEG2010ER,115</x:v>
      </x:c>
      <x:c r="C21" s="2" t="str">
        <x:v>Extended</x:v>
      </x:c>
      <x:c r="D21" s="2" t="n">
        <x:v>1</x:v>
      </x:c>
      <x:c r="E21" s="2" t="n">
        <x:f>D21*Summary!$B$5</x:f>
        <x:v>2</x:v>
      </x:c>
      <x:c r="F21" s="22" t="n">
        <x:v>12880</x:v>
      </x:c>
      <x:c r="G21" s="14" t="n">
        <x:v>0.1788</x:v>
      </x:c>
      <x:c r="H21" s="6" t="n">
        <x:f>E21*G21</x:f>
        <x:v>0.3576</x:v>
      </x:c>
      <x:c r="I21" s="6" t="n">
        <x:f>IF(C21="Extended",Summary!$B$6,0)</x:f>
        <x:v>3.07</x:v>
      </x:c>
      <x:c r="J21" s="2" t="str">
        <x:f>IF(F21=0,"PREORDER",IF(F21&lt;E21,"SHORT","IN STOCK"))</x:f>
        <x:v>IN STOCK</x:v>
      </x:c>
    </x:row>
    <x:row r="22" ht="24" customHeight="1">
      <x:c r="A22" s="20" t="str">
        <x:v>C17557</x:v>
      </x:c>
      <x:c r="B22" s="20" t="str">
        <x:v>0805W8F2200T5E</x:v>
      </x:c>
      <x:c r="C22" s="20" t="str">
        <x:v>Basic</x:v>
      </x:c>
      <x:c r="D22" s="20" t="n">
        <x:v>1</x:v>
      </x:c>
      <x:c r="E22" s="20" t="n">
        <x:f>D22*Summary!$B$5</x:f>
        <x:v>2</x:v>
      </x:c>
      <x:c r="F22" s="21" t="n">
        <x:v>901910</x:v>
      </x:c>
      <x:c r="G22" s="23" t="n">
        <x:v>0.0054</x:v>
      </x:c>
      <x:c r="H22" s="24" t="n">
        <x:f>E22*G22</x:f>
        <x:v>0.0108</x:v>
      </x:c>
      <x:c r="I22" s="24" t="n">
        <x:f>IF(C22="Extended",Summary!$B$6,0)</x:f>
        <x:v>0</x:v>
      </x:c>
      <x:c r="J22" s="20" t="str">
        <x:f>IF(F22=0,"PREORDER",IF(F22&lt;E22,"SHORT","IN STOCK"))</x:f>
        <x:v>IN STOCK</x:v>
      </x:c>
    </x:row>
    <x:row r="23" ht="24" customHeight="1">
      <x:c r="A23" s="2" t="str">
        <x:v>C149504</x:v>
      </x:c>
      <x:c r="B23" s="2" t="str">
        <x:v>0805W8F1003T5E</x:v>
      </x:c>
      <x:c r="C23" s="2" t="str">
        <x:v>Basic</x:v>
      </x:c>
      <x:c r="D23" s="2" t="n">
        <x:v>1</x:v>
      </x:c>
      <x:c r="E23" s="2" t="n">
        <x:f>D23*Summary!$B$5</x:f>
        <x:v>2</x:v>
      </x:c>
      <x:c r="F23" s="22" t="n">
        <x:v>4232521</x:v>
      </x:c>
      <x:c r="G23" s="14" t="n">
        <x:v>0.0059</x:v>
      </x:c>
      <x:c r="H23" s="6" t="n">
        <x:f>E23*G23</x:f>
        <x:v>0.0118</x:v>
      </x:c>
      <x:c r="I23" s="6" t="n">
        <x:f>IF(C23="Extended",Summary!$B$6,0)</x:f>
        <x:v>0</x:v>
      </x:c>
      <x:c r="J23" s="2" t="str">
        <x:f>IF(F23=0,"PREORDER",IF(F23&lt;E23,"SHORT","IN STOCK"))</x:f>
        <x:v>IN STOCK</x:v>
      </x:c>
    </x:row>
    <x:row r="24" ht="24" customHeight="1">
      <x:c r="A24" s="20" t="str">
        <x:v>C17673</x:v>
      </x:c>
      <x:c r="B24" s="20" t="str">
        <x:v>0805W8F4701T5E</x:v>
      </x:c>
      <x:c r="C24" s="20" t="str">
        <x:v>Basic</x:v>
      </x:c>
      <x:c r="D24" s="20" t="n">
        <x:v>2</x:v>
      </x:c>
      <x:c r="E24" s="20" t="n">
        <x:f>D24*Summary!$B$5</x:f>
        <x:v>4</x:v>
      </x:c>
      <x:c r="F24" s="21" t="n">
        <x:v>5092033</x:v>
      </x:c>
      <x:c r="G24" s="23" t="n">
        <x:v>0.005</x:v>
      </x:c>
      <x:c r="H24" s="24" t="n">
        <x:f>E24*G24</x:f>
        <x:v>0.02</x:v>
      </x:c>
      <x:c r="I24" s="24" t="n">
        <x:f>IF(C24="Extended",Summary!$B$6,0)</x:f>
        <x:v>0</x:v>
      </x:c>
      <x:c r="J24" s="20" t="str">
        <x:f>IF(F24=0,"PREORDER",IF(F24&lt;E24,"SHORT","IN STOCK"))</x:f>
        <x:v>IN STOCK</x:v>
      </x:c>
    </x:row>
    <x:row r="25" ht="24" customHeight="1">
      <x:c r="A25" s="2" t="str">
        <x:v>C17513</x:v>
      </x:c>
      <x:c r="B25" s="2" t="str">
        <x:v>0805W8F1001T5E</x:v>
      </x:c>
      <x:c r="C25" s="2" t="str">
        <x:v>Basic</x:v>
      </x:c>
      <x:c r="D25" s="2" t="n">
        <x:v>1</x:v>
      </x:c>
      <x:c r="E25" s="2" t="n">
        <x:f>D25*Summary!$B$5</x:f>
        <x:v>2</x:v>
      </x:c>
      <x:c r="F25" s="22" t="n">
        <x:v>31226169</x:v>
      </x:c>
      <x:c r="G25" s="14" t="n">
        <x:v>0.004</x:v>
      </x:c>
      <x:c r="H25" s="6" t="n">
        <x:f>E25*G25</x:f>
        <x:v>0.008</x:v>
      </x:c>
      <x:c r="I25" s="6" t="n">
        <x:f>IF(C25="Extended",Summary!$B$6,0)</x:f>
        <x:v>0</x:v>
      </x:c>
      <x:c r="J25" s="2" t="str">
        <x:f>IF(F25=0,"PREORDER",IF(F25&lt;E25,"SHORT","IN STOCK"))</x:f>
        <x:v>IN STOCK</x:v>
      </x:c>
    </x:row>
    <x:row r="26" ht="24" customHeight="1">
      <x:c r="A26" s="20" t="str">
        <x:v>C3762322</x:v>
      </x:c>
      <x:c r="B26" s="20" t="str">
        <x:v>1206L025/24YR</x:v>
      </x:c>
      <x:c r="C26" s="20" t="str">
        <x:v>Extended</x:v>
      </x:c>
      <x:c r="D26" s="20" t="n">
        <x:v>1</x:v>
      </x:c>
      <x:c r="E26" s="20" t="n">
        <x:f>D26*Summary!$B$5</x:f>
        <x:v>2</x:v>
      </x:c>
      <x:c r="F26" s="21" t="n">
        <x:v>5149</x:v>
      </x:c>
      <x:c r="G26" s="23" t="n">
        <x:v>0.2396</x:v>
      </x:c>
      <x:c r="H26" s="24" t="n">
        <x:f>E26*G26</x:f>
        <x:v>0.4792</x:v>
      </x:c>
      <x:c r="I26" s="24" t="n">
        <x:f>IF(C26="Extended",Summary!$B$6,0)</x:f>
        <x:v>3.07</x:v>
      </x:c>
      <x:c r="J26" s="20" t="str">
        <x:f>IF(F26=0,"PREORDER",IF(F26&lt;E26,"SHORT","IN STOCK"))</x:f>
        <x:v>IN STOCK</x:v>
      </x:c>
    </x:row>
    <x:row r="27" ht="24" customHeight="1">
      <x:c r="A27" s="2" t="str">
        <x:v>C15850</x:v>
      </x:c>
      <x:c r="B27" s="2" t="str">
        <x:v>CL21A106KAYNNNE</x:v>
      </x:c>
      <x:c r="C27" s="2" t="str">
        <x:v>Basic</x:v>
      </x:c>
      <x:c r="D27" s="2" t="n">
        <x:v>2</x:v>
      </x:c>
      <x:c r="E27" s="2" t="n">
        <x:f>D27*Summary!$B$5</x:f>
        <x:v>4</x:v>
      </x:c>
      <x:c r="F27" s="22" t="n">
        <x:v>5006159</x:v>
      </x:c>
      <x:c r="G27" s="14" t="n">
        <x:v>0.0651</x:v>
      </x:c>
      <x:c r="H27" s="6" t="n">
        <x:f>E27*G27</x:f>
        <x:v>0.2604</x:v>
      </x:c>
      <x:c r="I27" s="6" t="n">
        <x:f>IF(C27="Extended",Summary!$B$6,0)</x:f>
        <x:v>0</x:v>
      </x:c>
      <x:c r="J27" s="2" t="str">
        <x:f>IF(F27=0,"PREORDER",IF(F27&lt;E27,"SHORT","IN STOCK"))</x:f>
        <x:v>IN STOCK</x:v>
      </x:c>
    </x:row>
    <x:row r="28" ht="24" customHeight="1">
      <x:c r="A28" s="20" t="str">
        <x:v>C28323</x:v>
      </x:c>
      <x:c r="B28" s="20" t="str">
        <x:v>CL21B105KBFNNNE</x:v>
      </x:c>
      <x:c r="C28" s="20" t="str">
        <x:v>Basic</x:v>
      </x:c>
      <x:c r="D28" s="20" t="n">
        <x:v>1</x:v>
      </x:c>
      <x:c r="E28" s="20" t="n">
        <x:f>D28*Summary!$B$5</x:f>
        <x:v>2</x:v>
      </x:c>
      <x:c r="F28" s="21" t="n">
        <x:v>2300572</x:v>
      </x:c>
      <x:c r="G28" s="23" t="n">
        <x:v>0.0399</x:v>
      </x:c>
      <x:c r="H28" s="24" t="n">
        <x:f>E28*G28</x:f>
        <x:v>0.0798</x:v>
      </x:c>
      <x:c r="I28" s="24" t="n">
        <x:f>IF(C28="Extended",Summary!$B$6,0)</x:f>
        <x:v>0</x:v>
      </x:c>
      <x:c r="J28" s="20" t="str">
        <x:f>IF(F28=0,"PREORDER",IF(F28&lt;E28,"SHORT","IN STOCK"))</x:f>
        <x:v>IN STOCK</x:v>
      </x:c>
    </x:row>
    <x:row r="29" ht="24" customHeight="1">
      <x:c r="A29" s="2" t="str">
        <x:v>C45783</x:v>
      </x:c>
      <x:c r="B29" s="2" t="str">
        <x:v>CL21A226MAQNNNE</x:v>
      </x:c>
      <x:c r="C29" s="2" t="str">
        <x:v>Basic</x:v>
      </x:c>
      <x:c r="D29" s="2" t="n">
        <x:v>1</x:v>
      </x:c>
      <x:c r="E29" s="2" t="n">
        <x:f>D29*Summary!$B$5</x:f>
        <x:v>2</x:v>
      </x:c>
      <x:c r="F29" s="22" t="n">
        <x:v>4005225</x:v>
      </x:c>
      <x:c r="G29" s="14" t="n">
        <x:v>0.2201</x:v>
      </x:c>
      <x:c r="H29" s="6" t="n">
        <x:f>E29*G29</x:f>
        <x:v>0.4402</x:v>
      </x:c>
      <x:c r="I29" s="6" t="n">
        <x:f>IF(C29="Extended",Summary!$B$6,0)</x:f>
        <x:v>0</x:v>
      </x:c>
      <x:c r="J29" s="2" t="str">
        <x:f>IF(F29=0,"PREORDER",IF(F29&lt;E29,"SHORT","IN STOCK"))</x:f>
        <x:v>IN STOCK</x:v>
      </x:c>
    </x:row>
    <x:row r="30" ht="24" customHeight="1">
      <x:c r="A30" s="2"/>
      <x:c r="B30" s="2"/>
      <x:c r="C30" s="2"/>
      <x:c r="D30" s="2"/>
      <x:c r="E30" s="2"/>
      <x:c r="F30" s="2"/>
      <x:c r="G30" s="2"/>
      <x:c r="H30" s="2"/>
      <x:c r="I30" s="2"/>
      <x:c r="J30" s="2"/>
    </x:row>
  </x:sheetData>
  <x:conditionalFormatting sqref="J6:J29">
    <x:cfRule type="containsText" dxfId="1" priority="1" operator="containsText" text="PREORDER"/>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1.109999656677246" hidden="0" customWidth="1"/>
    <x:col min="2" max="2" width="17.780000686645508" hidden="0" customWidth="1"/>
    <x:col min="3" max="3" width="23.329999923706055" hidden="0" customWidth="1"/>
    <x:col min="4" max="4" width="36.66999816894531" hidden="0" customWidth="1"/>
    <x:col min="5" max="5" width="36.66999816894531" hidden="0" customWidth="1"/>
    <x:col min="6" max="6" width="47.779998779296875" hidden="0" customWidth="1"/>
    <x:col min="7" max="7" width="47.779998779296875" hidden="0" customWidth="1"/>
  </x:cols>
  <x:sheetData>
    <x:row r="1" ht="24" customHeight="1">
      <x:c r="A1" s="2"/>
      <x:c r="B1" s="2"/>
      <x:c r="C1" s="2"/>
      <x:c r="D1" s="2"/>
      <x:c r="E1" s="2"/>
      <x:c r="F1" s="2"/>
      <x:c r="G1" s="2"/>
    </x:row>
    <x:row r="2" ht="24" customHeight="1">
      <x:c r="A2" s="3" t="str">
        <x:v>References, substitutions and source links</x:v>
      </x:c>
      <x:c r="B2" s="2"/>
      <x:c r="C2" s="2"/>
      <x:c r="D2" s="2"/>
      <x:c r="E2" s="2"/>
      <x:c r="F2" s="2"/>
      <x:c r="G2" s="2"/>
    </x:row>
    <x:row r="3" ht="24" customHeight="1">
      <x:c r="A3" s="2" t="str">
        <x:v>Exact JLC code controls matching; reject similarly named substitute ICs. Sources checked 2026-09-30.</x:v>
      </x:c>
      <x:c r="B3" s="2"/>
      <x:c r="C3" s="2"/>
      <x:c r="D3" s="2"/>
      <x:c r="E3" s="2"/>
      <x:c r="F3" s="2"/>
      <x:c r="G3" s="2"/>
    </x:row>
    <x:row r="4" ht="24" customHeight="1">
      <x:c r="A4" s="2"/>
      <x:c r="B4" s="2"/>
      <x:c r="C4" s="2"/>
      <x:c r="D4" s="2"/>
      <x:c r="E4" s="2"/>
      <x:c r="F4" s="2"/>
      <x:c r="G4" s="2"/>
    </x:row>
    <x:row r="5" ht="32" customHeight="1">
      <x:c r="A5" s="19" t="str">
        <x:v>JLC part #</x:v>
      </x:c>
      <x:c r="B5" s="19" t="str">
        <x:v>Designators</x:v>
      </x:c>
      <x:c r="C5" s="19" t="str">
        <x:v>Previous MPN</x:v>
      </x:c>
      <x:c r="D5" s="19" t="str">
        <x:v>Selected specification</x:v>
      </x:c>
      <x:c r="E5" s="19" t="str">
        <x:v>Decision / reason</x:v>
      </x:c>
      <x:c r="F5" s="19" t="str">
        <x:v>JLC source</x:v>
      </x:c>
      <x:c r="G5" s="19" t="str">
        <x:v>Manufacturer source / qualification note</x:v>
      </x:c>
    </x:row>
    <x:row r="6" ht="60" customHeight="1">
      <x:c r="A6" s="12" t="str">
        <x:v>C5144867</x:v>
      </x:c>
      <x:c r="B6" s="12" t="str">
        <x:v>J1,J2,J3</x:v>
      </x:c>
      <x:c r="C6" s="12" t="str">
        <x:v>1984633</x:v>
      </x:c>
      <x:c r="D6" s="12" t="str">
        <x:v>Phoenix 4-way horizontal terminal; exact original</x:v>
      </x:c>
      <x:c r="E6" s="12" t="str">
        <x:v>Retained exact original</x:v>
      </x:c>
      <x:c r="F6" s="25" t="str">
        <x:v>https://jlcpcb.com/parts/componentSearch?searchTxt=1984633</x:v>
      </x:c>
      <x:c r="G6" s="25" t="str">
        <x:v>Exact original retained or passive ratings/package matched in JLC library.</x:v>
      </x:c>
    </x:row>
    <x:row r="7" ht="60" customHeight="1">
      <x:c r="A7" s="12" t="str">
        <x:v>C865215</x:v>
      </x:c>
      <x:c r="B7" s="12" t="str">
        <x:v>R1,R2,R4,R5,R7,R8,R10,R11,R13,R14,R16,R17,R19,R20,R22,R23,R25,R26,R28,R29,R31,R32,R34,R35</x:v>
      </x:c>
      <x:c r="C7" s="12" t="str">
        <x:v>RT0805BRD07165KL</x:v>
      </x:c>
      <x:c r="D7" s="12" t="str">
        <x:v>165k; 0.1%; 25ppm/K; 125mW; 150V</x:v>
      </x:c>
      <x:c r="E7" s="12" t="str">
        <x:v>Retained exact original</x:v>
      </x:c>
      <x:c r="F7" s="25" t="str">
        <x:v>https://jlcpcb.com/parts/componentSearch?searchTxt=RT0805BRD07165KL</x:v>
      </x:c>
      <x:c r="G7" s="25" t="str">
        <x:v>Exact original retained or passive ratings/package matched in JLC library.</x:v>
      </x:c>
    </x:row>
    <x:row r="8" ht="60" customHeight="1">
      <x:c r="A8" s="12" t="str">
        <x:v>C282531</x:v>
      </x:c>
      <x:c r="B8" s="12" t="str">
        <x:v>D1,D2,D3,D4,D5,D6,D7,D8,D9,D10,D11,D12</x:v>
      </x:c>
      <x:c r="C8" s="12" t="str">
        <x:v>BZT52H-C12,115</x:v>
      </x:c>
      <x:c r="D8" s="12" t="str">
        <x:v>Nexperia 12V zener; exact original</x:v>
      </x:c>
      <x:c r="E8" s="12" t="str">
        <x:v>Retained exact original</x:v>
      </x:c>
      <x:c r="F8" s="25" t="str">
        <x:v>https://jlcpcb.com/parts/componentSearch?searchTxt=BZT52H-C12%2C115</x:v>
      </x:c>
      <x:c r="G8" s="25" t="str">
        <x:v>Exact original retained or passive ratings/package matched in JLC library.</x:v>
      </x:c>
    </x:row>
    <x:row r="9" ht="60" customHeight="1">
      <x:c r="A9" s="12" t="str">
        <x:v>C110775</x:v>
      </x:c>
      <x:c r="B9" s="12" t="str">
        <x:v>R3,R6,R9,R12,R15,R18,R21,R24,R27,R30,R33,R36,R37,R38</x:v>
      </x:c>
      <x:c r="C9" s="12" t="str">
        <x:v>RT0805BRD0710KL</x:v>
      </x:c>
      <x:c r="D9" s="12" t="str">
        <x:v>10k; 0.1%; 25ppm/K; 125mW; 150V</x:v>
      </x:c>
      <x:c r="E9" s="12" t="str">
        <x:v>Retained exact original</x:v>
      </x:c>
      <x:c r="F9" s="25" t="str">
        <x:v>https://jlcpcb.com/parts/componentSearch?searchTxt=RT0805BRD0710KL</x:v>
      </x:c>
      <x:c r="G9" s="25" t="str">
        <x:v>Exact original retained or passive ratings/package matched in JLC library.</x:v>
      </x:c>
    </x:row>
    <x:row r="10" ht="60" customHeight="1">
      <x:c r="A10" s="12" t="str">
        <x:v>C122537</x:v>
      </x:c>
      <x:c r="B10" s="12" t="str">
        <x:v>R46,R47,R48,R49,R50,R51,R52,R53,R54,R55,R56,R57</x:v>
      </x:c>
      <x:c r="C10" s="12" t="str">
        <x:v>RT0805BRD07100KL</x:v>
      </x:c>
      <x:c r="D10" s="12" t="str">
        <x:v>100k; 0.1%; 25ppm/K; 125mW; 150V</x:v>
      </x:c>
      <x:c r="E10" s="12" t="str">
        <x:v>Retained exact original</x:v>
      </x:c>
      <x:c r="F10" s="25" t="str">
        <x:v>https://jlcpcb.com/parts/componentSearch?searchTxt=RT0805BRD07100KL</x:v>
      </x:c>
      <x:c r="G10" s="25" t="str">
        <x:v>Exact original retained or passive ratings/package matched in JLC library.</x:v>
      </x:c>
    </x:row>
    <x:row r="11" ht="60" customHeight="1">
      <x:c r="A11" s="12" t="str">
        <x:v>C62774</x:v>
      </x:c>
      <x:c r="B11" s="12" t="str">
        <x:v>C1,C2,C3,C4,C5,C6,C7,C8,C9,C10,C11,C12,C28</x:v>
      </x:c>
      <x:c r="C11" s="12" t="str">
        <x:v>GRM2165C1H102JA01D</x:v>
      </x:c>
      <x:c r="D11" s="12" t="str">
        <x:v>1nF; 5%; 50V; C0G/NP0</x:v>
      </x:c>
      <x:c r="E11" s="12" t="str">
        <x:v>Stocked replacement; 1nF, 5%, 50V, C0G/NP0 preserved</x:v>
      </x:c>
      <x:c r="F11" s="25" t="str">
        <x:v>https://jlcpcb.com/parts/componentSearch?searchTxt=CC0805JRNPO9BN102</x:v>
      </x:c>
      <x:c r="G11" s="25" t="str">
        <x:v>https://www.yageogroup.com/download/specsheet/CC0805JRNPO9BN102</x:v>
      </x:c>
    </x:row>
    <x:row r="12" ht="60" customHeight="1">
      <x:c r="A12" s="12" t="str">
        <x:v>C37593</x:v>
      </x:c>
      <x:c r="B12" s="12" t="str">
        <x:v>U1,U2,U3</x:v>
      </x:c>
      <x:c r="C12" s="12" t="str">
        <x:v>ADS1115IDGSR</x:v>
      </x:c>
      <x:c r="D12" s="12" t="str">
        <x:v>TI ADS1115; exact original</x:v>
      </x:c>
      <x:c r="E12" s="12" t="str">
        <x:v>Retained exact original</x:v>
      </x:c>
      <x:c r="F12" s="25" t="str">
        <x:v>https://jlcpcb.com/parts/componentSearch?searchTxt=ADS1115IDGSR</x:v>
      </x:c>
      <x:c r="G12" s="25" t="str">
        <x:v>Exact original retained or passive ratings/package matched in JLC library.</x:v>
      </x:c>
    </x:row>
    <x:row r="13" ht="60" customHeight="1">
      <x:c r="A13" s="12" t="str">
        <x:v>C207399</x:v>
      </x:c>
      <x:c r="B13" s="12" t="str">
        <x:v>U4,U5,U6</x:v>
      </x:c>
      <x:c r="C13" s="12" t="str">
        <x:v>ADG4612BRUZ</x:v>
      </x:c>
      <x:c r="D13" s="12" t="str">
        <x:v>Same ADG4612BRUZ die and RU-16 package; reel packaging</x:v>
      </x:c>
      <x:c r="E13" s="12" t="str">
        <x:v>In-stock tape-and-reel packaging; same silicon, pinout and TSSOP-16</x:v>
      </x:c>
      <x:c r="F13" s="25" t="str">
        <x:v>https://jlcpcb.com/parts/componentSearch?searchTxt=ADG4612BRUZ-REEL7</x:v>
      </x:c>
      <x:c r="G13" s="25" t="str">
        <x:v>https://www.analog.com/media/en/technical-documentation/data-sheets/adg4612_4613.pdf</x:v>
      </x:c>
    </x:row>
    <x:row r="14" ht="60" customHeight="1">
      <x:c r="A14" s="12" t="str">
        <x:v>C49678</x:v>
      </x:c>
      <x:c r="B14" s="12" t="str">
        <x:v>C13,C16,C14,C17,C15,C18,C20,C22,C25,C26,C27,C29,C30</x:v>
      </x:c>
      <x:c r="C14" s="12" t="str">
        <x:v>GRM21BR71H104KA01L</x:v>
      </x:c>
      <x:c r="D14" s="12" t="str">
        <x:v>100nF; 10%; 50V; X7R</x:v>
      </x:c>
      <x:c r="E14" s="12" t="str">
        <x:v>Basic; 100nF, 10%, 50V, X7R preserved</x:v>
      </x:c>
      <x:c r="F14" s="25" t="str">
        <x:v>https://jlcpcb.com/parts/componentSearch?searchTxt=CC0805KRX7R9BB104</x:v>
      </x:c>
      <x:c r="G14" s="25" t="str">
        <x:v>https://yageogroup.com/download/specsheet/CC0805KRX7R9BB104</x:v>
      </x:c>
    </x:row>
    <x:row r="15" ht="60" customHeight="1">
      <x:c r="A15" s="12" t="str">
        <x:v>C157991</x:v>
      </x:c>
      <x:c r="B15" s="12" t="str">
        <x:v>J4</x:v>
      </x:c>
      <x:c r="C15" s="12" t="str">
        <x:v>B5B-XH-A(LF)(SN)</x:v>
      </x:c>
      <x:c r="D15" s="12" t="str">
        <x:v>JST XH 5-way vertical; exact original</x:v>
      </x:c>
      <x:c r="E15" s="12" t="str">
        <x:v>Retained exact original</x:v>
      </x:c>
      <x:c r="F15" s="25" t="str">
        <x:v>https://jlcpcb.com/parts/componentSearch?searchTxt=B5B-XH-A%28LF%29%28SN%29</x:v>
      </x:c>
      <x:c r="G15" s="25" t="str">
        <x:v>Exact original retained or passive ratings/package matched in JLC library.</x:v>
      </x:c>
    </x:row>
    <x:row r="16" ht="60" customHeight="1">
      <x:c r="A16" s="12" t="str">
        <x:v>C5338283</x:v>
      </x:c>
      <x:c r="B16" s="12" t="str">
        <x:v>U7</x:v>
      </x:c>
      <x:c r="C16" s="12" t="str">
        <x:v>R05C05TE05S-R</x:v>
      </x:c>
      <x:c r="D16" s="12" t="str">
        <x:v>RECOM isolated 5V converter; preorder MOQ 1; lead time not displayed</x:v>
      </x:c>
      <x:c r="E16" s="12" t="str">
        <x:v>Retained exact original</x:v>
      </x:c>
      <x:c r="F16" s="25" t="str">
        <x:v>https://jlcpcb.com/parts/componentSearch?searchTxt=R05C05TE05S-R</x:v>
      </x:c>
      <x:c r="G16" s="25" t="str">
        <x:v>Exact converter retained; do not substitute a generic SOIC-16 module. Preorder estimate only.</x:v>
      </x:c>
    </x:row>
    <x:row r="17" ht="60" customHeight="1">
      <x:c r="A17" s="12" t="str">
        <x:v>C5122339</x:v>
      </x:c>
      <x:c r="B17" s="12" t="str">
        <x:v>U8</x:v>
      </x:c>
      <x:c r="C17" s="12" t="str">
        <x:v>ISO1640BDR</x:v>
      </x:c>
      <x:c r="D17" s="12" t="str">
        <x:v>TI 8-pin B variant; exact original</x:v>
      </x:c>
      <x:c r="E17" s="12" t="str">
        <x:v>Retained exact original</x:v>
      </x:c>
      <x:c r="F17" s="25" t="str">
        <x:v>https://jlcpcb.com/parts/componentSearch?searchTxt=ISO1640BDR</x:v>
      </x:c>
      <x:c r="G17" s="25" t="str">
        <x:v>Exact original retained or passive ratings/package matched in JLC library.</x:v>
      </x:c>
    </x:row>
    <x:row r="18" ht="60" customHeight="1">
      <x:c r="A18" s="12" t="str">
        <x:v>C404027</x:v>
      </x:c>
      <x:c r="B18" s="12" t="str">
        <x:v>U9</x:v>
      </x:c>
      <x:c r="C18" s="12" t="str">
        <x:v>TLV75533PDBVR</x:v>
      </x:c>
      <x:c r="D18" s="12" t="str">
        <x:v>TI 3.3V LDO; exact original</x:v>
      </x:c>
      <x:c r="E18" s="12" t="str">
        <x:v>Retained exact original</x:v>
      </x:c>
      <x:c r="F18" s="25" t="str">
        <x:v>https://jlcpcb.com/parts/componentSearch?searchTxt=TLV75533PDBVR</x:v>
      </x:c>
      <x:c r="G18" s="25" t="str">
        <x:v>Exact original retained or passive ratings/package matched in JLC library.</x:v>
      </x:c>
    </x:row>
    <x:row r="19" ht="60" customHeight="1">
      <x:c r="A19" s="12" t="str">
        <x:v>C92494</x:v>
      </x:c>
      <x:c r="B19" s="12" t="str">
        <x:v>U10</x:v>
      </x:c>
      <x:c r="C19" s="12" t="str">
        <x:v>OPA320AIDBVR</x:v>
      </x:c>
      <x:c r="D19" s="12" t="str">
        <x:v>TI OPA320; exact original</x:v>
      </x:c>
      <x:c r="E19" s="12" t="str">
        <x:v>Retained exact original</x:v>
      </x:c>
      <x:c r="F19" s="25" t="str">
        <x:v>https://jlcpcb.com/parts/componentSearch?searchTxt=OPA320AIDBVR</x:v>
      </x:c>
      <x:c r="G19" s="25" t="str">
        <x:v>Exact original retained or passive ratings/package matched in JLC library.</x:v>
      </x:c>
    </x:row>
    <x:row r="20" ht="60" customHeight="1">
      <x:c r="A20" s="12" t="str">
        <x:v>C2860914</x:v>
      </x:c>
      <x:c r="B20" s="12" t="str">
        <x:v>U11</x:v>
      </x:c>
      <x:c r="C20" s="12" t="str">
        <x:v>TLV809EA30DBZR</x:v>
      </x:c>
      <x:c r="D20" s="12" t="str">
        <x:v>TI 3.08V supervisor; exact original</x:v>
      </x:c>
      <x:c r="E20" s="12" t="str">
        <x:v>Retained exact original</x:v>
      </x:c>
      <x:c r="F20" s="25" t="str">
        <x:v>https://jlcpcb.com/parts/componentSearch?searchTxt=TLV809EA30DBZR</x:v>
      </x:c>
      <x:c r="G20" s="25" t="str">
        <x:v>Exact original retained or passive ratings/package matched in JLC library.</x:v>
      </x:c>
    </x:row>
    <x:row r="21" ht="60" customHeight="1">
      <x:c r="A21" s="12" t="str">
        <x:v>C82288</x:v>
      </x:c>
      <x:c r="B21" s="12" t="str">
        <x:v>D13</x:v>
      </x:c>
      <x:c r="C21" s="12" t="str">
        <x:v>PMEG2010ER,115</x:v>
      </x:c>
      <x:c r="D21" s="12" t="str">
        <x:v>Nexperia Schottky; exact original</x:v>
      </x:c>
      <x:c r="E21" s="12" t="str">
        <x:v>Retained exact original</x:v>
      </x:c>
      <x:c r="F21" s="25" t="str">
        <x:v>https://jlcpcb.com/parts/componentSearch?searchTxt=PMEG2010ER%2C115</x:v>
      </x:c>
      <x:c r="G21" s="25" t="str">
        <x:v>Exact original retained or passive ratings/package matched in JLC library.</x:v>
      </x:c>
    </x:row>
    <x:row r="22" ht="60" customHeight="1">
      <x:c r="A22" s="12" t="str">
        <x:v>C17557</x:v>
      </x:c>
      <x:c r="B22" s="12" t="str">
        <x:v>R39</x:v>
      </x:c>
      <x:c r="C22" s="12" t="str">
        <x:v>RC0805FR-07220RL</x:v>
      </x:c>
      <x:c r="D22" s="12" t="str">
        <x:v>220R; 1%; 100ppm/K; 125mW; 150V</x:v>
      </x:c>
      <x:c r="E22" s="12" t="str">
        <x:v>Basic; same 1%, 100ppm/K, 125mW, 150V rating</x:v>
      </x:c>
      <x:c r="F22" s="25" t="str">
        <x:v>https://jlcpcb.com/parts/componentSearch?searchTxt=0805W8F2200T5E</x:v>
      </x:c>
      <x:c r="G22" s="25" t="str">
        <x:v>Exact original retained or passive ratings/package matched in JLC library.</x:v>
      </x:c>
    </x:row>
    <x:row r="23" ht="60" customHeight="1">
      <x:c r="A23" s="12" t="str">
        <x:v>C149504</x:v>
      </x:c>
      <x:c r="B23" s="12" t="str">
        <x:v>R40</x:v>
      </x:c>
      <x:c r="C23" s="12" t="str">
        <x:v>RC0805FR-07100KL</x:v>
      </x:c>
      <x:c r="D23" s="12" t="str">
        <x:v>100k; 1%; 100ppm/K; 125mW; 150V</x:v>
      </x:c>
      <x:c r="E23" s="12" t="str">
        <x:v>Basic; same 1%, 100ppm/K, 125mW, 150V rating</x:v>
      </x:c>
      <x:c r="F23" s="25" t="str">
        <x:v>https://jlcpcb.com/parts/componentSearch?searchTxt=0805W8F1003T5E</x:v>
      </x:c>
      <x:c r="G23" s="25" t="str">
        <x:v>Exact original retained or passive ratings/package matched in JLC library.</x:v>
      </x:c>
    </x:row>
    <x:row r="24" ht="60" customHeight="1">
      <x:c r="A24" s="12" t="str">
        <x:v>C17673</x:v>
      </x:c>
      <x:c r="B24" s="12" t="str">
        <x:v>R41,R42</x:v>
      </x:c>
      <x:c r="C24" s="12" t="str">
        <x:v>RC0805FR-074K7L</x:v>
      </x:c>
      <x:c r="D24" s="12" t="str">
        <x:v>4.7k; 1%; 100ppm/K; 125mW; 150V</x:v>
      </x:c>
      <x:c r="E24" s="12" t="str">
        <x:v>Basic; same 1%, 100ppm/K, 125mW, 150V rating</x:v>
      </x:c>
      <x:c r="F24" s="25" t="str">
        <x:v>https://jlcpcb.com/parts/componentSearch?searchTxt=0805W8F4701T5E</x:v>
      </x:c>
      <x:c r="G24" s="25" t="str">
        <x:v>Exact original retained or passive ratings/package matched in JLC library.</x:v>
      </x:c>
    </x:row>
    <x:row r="25" ht="60" customHeight="1">
      <x:c r="A25" s="12" t="str">
        <x:v>C17513</x:v>
      </x:c>
      <x:c r="B25" s="12" t="str">
        <x:v>R45</x:v>
      </x:c>
      <x:c r="C25" s="12" t="str">
        <x:v>RC0805FR-071KL</x:v>
      </x:c>
      <x:c r="D25" s="12" t="str">
        <x:v>1k; 1%; 100ppm/K; 125mW; 150V</x:v>
      </x:c>
      <x:c r="E25" s="12" t="str">
        <x:v>Basic; same 1%, 100ppm/K, 125mW, 150V rating</x:v>
      </x:c>
      <x:c r="F25" s="25" t="str">
        <x:v>https://jlcpcb.com/parts/componentSearch?searchTxt=0805W8F1001T5E</x:v>
      </x:c>
      <x:c r="G25" s="25" t="str">
        <x:v>Exact original retained or passive ratings/package matched in JLC library.</x:v>
      </x:c>
    </x:row>
    <x:row r="26" ht="60" customHeight="1">
      <x:c r="A26" s="12" t="str">
        <x:v>C3762322</x:v>
      </x:c>
      <x:c r="B26" s="12" t="str">
        <x:v>F1</x:v>
      </x:c>
      <x:c r="C26" s="12" t="str">
        <x:v>1206L025/24YR</x:v>
      </x:c>
      <x:c r="D26" s="12" t="str">
        <x:v>Littelfuse 250mA PTC; R1max 2.3ohm; exact original</x:v>
      </x:c>
      <x:c r="E26" s="12" t="str">
        <x:v>Retained exact original</x:v>
      </x:c>
      <x:c r="F26" s="25" t="str">
        <x:v>https://jlcpcb.com/parts/componentSearch?searchTxt=1206L025/24YR</x:v>
      </x:c>
      <x:c r="G26" s="25" t="str">
        <x:v>Exact original retained or passive ratings/package matched in JLC library.</x:v>
      </x:c>
    </x:row>
    <x:row r="27" ht="60" customHeight="1">
      <x:c r="A27" s="12" t="str">
        <x:v>C15850</x:v>
      </x:c>
      <x:c r="B27" s="12" t="str">
        <x:v>C19,C21</x:v>
      </x:c>
      <x:c r="C27" s="12" t="str">
        <x:v>GRM21BR61A106KE19L</x:v>
      </x:c>
      <x:c r="D27" s="12" t="str">
        <x:v>10uF; 10%; 25V; X5R</x:v>
      </x:c>
      <x:c r="E27" s="12" t="str">
        <x:v>Basic; 10uF, 10%, X5R; voltage rating increased to 25V</x:v>
      </x:c>
      <x:c r="F27" s="25" t="str">
        <x:v>https://jlcpcb.com/parts/componentSearch?searchTxt=CL21A106KAYNNNE</x:v>
      </x:c>
      <x:c r="G27" s="25" t="str">
        <x:v>JLC listing: 10uF 25V X5R 10% 0805; real effective capacitance and supply transients still need bench verification.</x:v>
      </x:c>
    </x:row>
    <x:row r="28" ht="60" customHeight="1">
      <x:c r="A28" s="12" t="str">
        <x:v>C28323</x:v>
      </x:c>
      <x:c r="B28" s="12" t="str">
        <x:v>C23</x:v>
      </x:c>
      <x:c r="C28" s="12" t="str">
        <x:v>GRM21BR71E105KA99L</x:v>
      </x:c>
      <x:c r="D28" s="12" t="str">
        <x:v>1uF; 10%; 50V; X7R</x:v>
      </x:c>
      <x:c r="E28" s="12" t="str">
        <x:v>Basic; 1uF, 10%, X7R; voltage rating increased to 50V</x:v>
      </x:c>
      <x:c r="F28" s="25" t="str">
        <x:v>https://jlcpcb.com/parts/componentSearch?searchTxt=CL21B105KBFNNNE</x:v>
      </x:c>
      <x:c r="G28" s="25" t="str">
        <x:v>https://product.samsungsem.com/mlcc/CL21B105KBFNNN.do</x:v>
      </x:c>
    </x:row>
    <x:row r="29" ht="60" customHeight="1">
      <x:c r="A29" s="12" t="str">
        <x:v>C45783</x:v>
      </x:c>
      <x:c r="B29" s="12" t="str">
        <x:v>C24</x:v>
      </x:c>
      <x:c r="C29" s="12" t="str">
        <x:v>GRM21BR61A226ME44L</x:v>
      </x:c>
      <x:c r="D29" s="12" t="str">
        <x:v>22uF; 20%; 25V; X5R; manufacturer NRND</x:v>
      </x:c>
      <x:c r="E29" s="12" t="str">
        <x:v>Basic; 22uF, 20%, X5R; 25V. NRND but deep JLC stock for prototype; requalify for production</x:v>
      </x:c>
      <x:c r="F29" s="25" t="str">
        <x:v>https://jlcpcb.com/parts/componentSearch?searchTxt=CL21A226MAQNNNE</x:v>
      </x:c>
      <x:c r="G29" s="25" t="str">
        <x:v>https://product.samsungsem.com/cn/mlcc/CL21A226MAQNNN.do — NRND; fine for stocked prototype, review for production.</x:v>
      </x:c>
    </x:row>
    <x:row r="30" ht="24" customHeight="1">
      <x:c r="A30" s="2"/>
      <x:c r="B30" s="2"/>
      <x:c r="C30" s="2"/>
      <x:c r="D30" s="2"/>
      <x:c r="E30" s="2"/>
      <x:c r="F30" s="2"/>
      <x:c r="G30" s="2"/>
    </x:row>
  </x:sheetData>
  <x:pageMargins left="0.7" right="0.7" top="0.75" bottom="0.75" header="0.3" footer="0.3"/>
</x:worksheet>
</file>